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HC Hora×Hora" sheetId="1" r:id="rId1"/>
    <sheet name="2. HC por Posición" sheetId="2" r:id="rId2"/>
    <sheet name="3. Optimización Jornadas" sheetId="3" r:id="rId3"/>
    <sheet name="4. Estrategia 12 Semanas" sheetId="4" r:id="rId4"/>
    <sheet name="5. Ejercicio SQL" sheetId="5" r:id="rId5"/>
  </sheets>
  <calcPr calcId="124519" fullCalcOnLoad="1"/>
</workbook>
</file>

<file path=xl/sharedStrings.xml><?xml version="1.0" encoding="utf-8"?>
<sst xmlns="http://schemas.openxmlformats.org/spreadsheetml/2006/main" count="342" uniqueCount="197">
  <si>
    <t>MXXPB1 — HC Requerido por Hora | Semana 27</t>
  </si>
  <si>
    <t>Necesidad total de representantes Meli por hora y día de la semana  ·  Site capacity: 23,000 paquetes/día</t>
  </si>
  <si>
    <t>Hora</t>
  </si>
  <si>
    <t>Turno</t>
  </si>
  <si>
    <t>Lunes</t>
  </si>
  <si>
    <t>Martes</t>
  </si>
  <si>
    <t>Miércoles</t>
  </si>
  <si>
    <t>Jueves</t>
  </si>
  <si>
    <t>Viernes</t>
  </si>
  <si>
    <t>Sábado</t>
  </si>
  <si>
    <t>00:00</t>
  </si>
  <si>
    <t>🌙 Nocturno</t>
  </si>
  <si>
    <t>01:00</t>
  </si>
  <si>
    <t>02:00</t>
  </si>
  <si>
    <t>03:00</t>
  </si>
  <si>
    <t>04:00</t>
  </si>
  <si>
    <t>05:00</t>
  </si>
  <si>
    <t>06:00</t>
  </si>
  <si>
    <t>🌅 Matutino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</si>
  <si>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</si>
  <si>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</si>
  <si>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</si>
  <si>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</si>
  <si>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</si>
  <si>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</si>
  <si>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</si>
  <si>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</si>
  <si>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🌇 Vespertino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</si>
  <si>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</si>
  <si>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</si>
  <si>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</si>
  <si>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</si>
  <si>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</si>
  <si>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</si>
  <si>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</si>
  <si>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</si>
  <si>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</si>
  <si>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PEAK</t>
  </si>
  <si>
    <t>Máximo</t>
  </si>
  <si>
    <t>Vol</t>
  </si>
  <si>
    <t>Paquetes/día</t>
  </si>
  <si>
    <t>MXXPB1 — HC Detallado por Posición y Hora | Semana 27</t>
  </si>
  <si>
    <t>Desglose de headcount por rol: Descarga · Buffer · Sorter · Water Spider · Embarque</t>
  </si>
  <si>
    <t>Día</t>
  </si>
  <si>
    <t>Posición</t>
  </si>
  <si>
    <t>Rate (pkg/hr)</t>
  </si>
  <si>
    <t>Hora Peak</t>
  </si>
  <si>
    <t>Paquetes Peak</t>
  </si>
  <si>
    <t>HC Peak</t>
  </si>
  <si>
    <t>Descarga V2</t>
  </si>
  <si>
    <t>Descarga V3+V4</t>
  </si>
  <si>
    <t>Buffer (Conv)</t>
  </si>
  <si>
    <t>Sorter (Conv)</t>
  </si>
  <si>
    <t>Water Spider (Conv)</t>
  </si>
  <si>
    <t>Sorter (Non-Conv)</t>
  </si>
  <si>
    <t>Water Spider NC</t>
  </si>
  <si>
    <t>Embarque</t>
  </si>
  <si>
    <t>TOTAL HC PEAK — Lunes</t>
  </si>
  <si>
    <t>TOTAL HC PEAK — Martes</t>
  </si>
  <si>
    <t>TOTAL HC PEAK — Miércoles</t>
  </si>
  <si>
    <t>TOTAL HC PEAK — Jueves</t>
  </si>
  <si>
    <t>TOTAL HC PEAK — Viernes</t>
  </si>
  <si>
    <t>TOTAL HC PEAK — Sábado</t>
  </si>
  <si>
    <t>MXXPB1 — Optimización de Jornadas Laborales | Semana 27</t>
  </si>
  <si>
    <t>Mezcla óptima de FT 6x1 · FT 5x2 · FT 4x3 · Diaristas para minimizar costo semanal con cobertura 100%</t>
  </si>
  <si>
    <t>CATÁLOGO DE JORNADAS</t>
  </si>
  <si>
    <t>Jornada</t>
  </si>
  <si>
    <t>Días/Sem</t>
  </si>
  <si>
    <t>Horas/Día</t>
  </si>
  <si>
    <t>Días Descanso</t>
  </si>
  <si>
    <t>Costo Semanal</t>
  </si>
  <si>
    <t>Hrs Sem</t>
  </si>
  <si>
    <t>Costo/Hr</t>
  </si>
  <si>
    <t>Disponibilidad</t>
  </si>
  <si>
    <t>FT 6x1</t>
  </si>
  <si>
    <t>6/7 días → asignar Domingo libre → 100% activos L-S</t>
  </si>
  <si>
    <t>FT 5x2</t>
  </si>
  <si>
    <t>5/7 días → asignar Dom+Sáb libres → 100% activos L-V</t>
  </si>
  <si>
    <t>FT 4x3</t>
  </si>
  <si>
    <t>4/7 días → mayor ausentismo efectivo</t>
  </si>
  <si>
    <t>Diarista</t>
  </si>
  <si>
    <t>Cubre 1 día específico → ideal para picos puntuales</t>
  </si>
  <si>
    <t>COMPARATIVA DE ESCENARIOS</t>
  </si>
  <si>
    <t>Escenario</t>
  </si>
  <si>
    <t>Diaristas/Sem</t>
  </si>
  <si>
    <t>Costo FT</t>
  </si>
  <si>
    <t>Costo Diar.</t>
  </si>
  <si>
    <t>COSTO TOTAL</t>
  </si>
  <si>
    <t>Seleccionado</t>
  </si>
  <si>
    <t>A - Solo FT 6x1</t>
  </si>
  <si>
    <t>B - Solo FT 5x2</t>
  </si>
  <si>
    <t>C - Mix FT 6x1+5x2</t>
  </si>
  <si>
    <t>✅ ÓPTIMO</t>
  </si>
  <si>
    <t>DETALLE SOLUCIÓN ÓPTIMA — C - Mix FT 6x1+5x2</t>
  </si>
  <si>
    <t>HC Necesario</t>
  </si>
  <si>
    <t>FT Disponibles</t>
  </si>
  <si>
    <t>Diaristas</t>
  </si>
  <si>
    <t>Total Cubierto</t>
  </si>
  <si>
    <t>Excedente</t>
  </si>
  <si>
    <t>Costo Diaristas</t>
  </si>
  <si>
    <t>Cobertura</t>
  </si>
  <si>
    <t>100%</t>
  </si>
  <si>
    <t>TOTAL SEMANA</t>
  </si>
  <si>
    <t>24 FT6x1 + 9 FT5x2</t>
  </si>
  <si>
    <t>✅</t>
  </si>
  <si>
    <t>MXXPB1 — Estrategia HC: 12 Semanas de Forecast | S&amp;OP UTR</t>
  </si>
  <si>
    <t>Metodología para planear headcount en horizontes de 12 semanas con volatilidad de ±5% a ±10%</t>
  </si>
  <si>
    <t>METODOLOGÍA: BASE ESTABLE + CAPA FLEX</t>
  </si>
  <si>
    <t>Problema</t>
  </si>
  <si>
    <t>El forecast de 12 semanas tiene variaciones de ±5% a ±10%. Contratar y despedir semana a semana genera costos de contratación, impactos en engagement y riesgo legal.</t>
  </si>
  <si>
    <t>Solución propuesta</t>
  </si>
  <si>
    <t>Modelo "Base + Flex": dimensionar el headcount FT al percentil P60 del forecast de las 12 semanas, y usar Diaristas para absorber los picos por encima de ese nivel.</t>
  </si>
  <si>
    <t>Cálculo Base FT</t>
  </si>
  <si>
    <t>Usar un rolling average de 3 semanas del forecast de HC para suavizar la volatilidad. Dimensionar el FT al P60 del rolling average (cubre ~60% de los escenarios sin diaristas).</t>
  </si>
  <si>
    <t>Capa Flex Diaristas</t>
  </si>
  <si>
    <t>Para cada semana con demanda por encima del HC base FT, cubrir el delta con Diaristas. Máximo 20% del total de HC como Diaristas (límite de engagement y operación).</t>
  </si>
  <si>
    <t>Contratación anticipada</t>
  </si>
  <si>
    <t>Con el forecast de 12 semanas, anticipar contrataciones con 4 semanas de lead time. Usar la semana W+4 del forecast como gatillo de contratación FT.</t>
  </si>
  <si>
    <t>Revisión semanal</t>
  </si>
  <si>
    <t>Cada lunes, comparar forecast actual vs. semana anterior. Si el delta supera ±5%, ajustar plan de Diaristas de la semana siguiente. El plan FT solo se modifica si el delta supera ±15% por 2 semanas consecutivas.</t>
  </si>
  <si>
    <t>PLAN HC 12 SEMANAS (SIMULADO — aplicar con datos reales)</t>
  </si>
  <si>
    <t>Semana</t>
  </si>
  <si>
    <t>Vol Forecast</t>
  </si>
  <si>
    <t>Δ vs Base</t>
  </si>
  <si>
    <t>HC Raw</t>
  </si>
  <si>
    <t>HC Base FT (P50)</t>
  </si>
  <si>
    <t>Diaristas Estimados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</si>
  <si>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</si>
  <si>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</si>
  <si>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</si>
  <si>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</si>
  <si>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</si>
  <si>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</si>
  <si>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</si>
  <si>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</si>
  <si>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</si>
  <si>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</si>
  <si>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</si>
  <si>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</si>
  <si>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KPI PROPUESTO: STAFFING EFFICIENCY RATE (SER)</t>
  </si>
  <si>
    <t>Definición</t>
  </si>
  <si>
    <t>SER = (HC Real Trabajando / HC Planificado) × 100%</t>
  </si>
  <si>
    <t>Objetivo</t>
  </si>
  <si>
    <t>SER entre 95% y 105%  |  &lt;95% = riesgo de backlog  |  &gt;105% = sobrecosto operativo</t>
  </si>
  <si>
    <t>Frecuencia</t>
  </si>
  <si>
    <t>Medición: diaria (fin de turno)  |  Reporte: semanal al Director de Site</t>
  </si>
  <si>
    <t>Componentes</t>
  </si>
  <si>
    <t>HC Planificado = HC calculado semana anterior con el modelo Base+Flex
HC Real = asistencia confirmada + productividad verificada en piso</t>
  </si>
  <si>
    <t>Alerta temprana</t>
  </si>
  <si>
    <t>Si SER &lt; 90% por 2 días consecutivos → activar Diaristas de emergencia
Si SER &gt; 115% por 3 días → revisar forecast con equipo Demand S&amp;OP</t>
  </si>
  <si>
    <t>Métrica complementaria</t>
  </si>
  <si>
    <t>Packages per Associate Hour (PPAH) = Total Paquetes Procesados / Total Horas Trabajadas
Target MXXPB1: ≥ 280 pkg/hr-persona</t>
  </si>
  <si>
    <t>Ejercicio 2 — Consulta SQL: Ventas por País 2024</t>
  </si>
  <si>
    <t>Query que muestra países donde el total de ventas en 2024 fue mayor a $500</t>
  </si>
  <si>
    <t>Tabla: Clientes</t>
  </si>
  <si>
    <t>id_cliente</t>
  </si>
  <si>
    <t>nombre</t>
  </si>
  <si>
    <t>país</t>
  </si>
  <si>
    <t>Juan Pérez</t>
  </si>
  <si>
    <t>México</t>
  </si>
  <si>
    <t>Ana García</t>
  </si>
  <si>
    <t>España</t>
  </si>
  <si>
    <t>Luis Torres</t>
  </si>
  <si>
    <t>Marta López</t>
  </si>
  <si>
    <t>Colombia</t>
  </si>
  <si>
    <t>Tabla: Pedidos</t>
  </si>
  <si>
    <t>id_pedido</t>
  </si>
  <si>
    <t>fecha</t>
  </si>
  <si>
    <t>total</t>
  </si>
  <si>
    <t>2024-01-15</t>
  </si>
  <si>
    <t>2024-01-18</t>
  </si>
  <si>
    <t>2024-01-20</t>
  </si>
  <si>
    <t>2024-02-05</t>
  </si>
  <si>
    <t>2024-02-07</t>
  </si>
  <si>
    <t>2024-03-01</t>
  </si>
  <si>
    <t>SOLUCIÓN SQL</t>
  </si>
  <si>
    <t>SELECT
    c.país,
    SUM(p.total)  AS total_ventas
FROM pedidos p
JOIN clientes c ON p.id_cliente = c.id_cliente
WHERE p.fecha BETWEEN '2024-01-01' AND '2024-12-31'
GROUP BY c.país
HAVING SUM(p.total) &gt; 500
ORDER BY total_ventas DESC;</t>
  </si>
  <si>
    <t>RESULTADO ESPERADO</t>
  </si>
  <si>
    <t>total_ventas</t>
  </si>
  <si>
    <t>EXPLICACIÓN DEL QUERY</t>
  </si>
  <si>
    <t>JOIN</t>
  </si>
  <si>
    <t>Unimos pedidos con clientes usando id_cliente como llave foránea para traer el país de cada pedido.</t>
  </si>
  <si>
    <t>WHERE (filtro temporal)</t>
  </si>
  <si>
    <t>Filtramos únicamente pedidos del año 2024 usando BETWEEN '2024-01-01' AND '2024-12-31'. Equivalente a WHERE YEAR(fecha) = 2024.</t>
  </si>
  <si>
    <t>GROUP BY</t>
  </si>
  <si>
    <t>Agrupamos los resultados por país para calcular el total de ventas de cada uno.</t>
  </si>
  <si>
    <t>SUM(total)</t>
  </si>
  <si>
    <t>Función de agregación que suma todos los pedidos de cada país en el período filtrado.</t>
  </si>
  <si>
    <t>HAVING</t>
  </si>
  <si>
    <t>Filtramos los grupos (países) donde la suma total supera $500. No se puede usar WHERE aquí porque WHERE opera sobre filas individuales, no sobre agregados.</t>
  </si>
  <si>
    <t>Resultado</t>
  </si>
  <si>
    <t>México: Juan Pérez ($250+$150=$400) + Luis Torres ($300) = $700 ✓
España: Ana García ($450+$100) = $550 ✓
Colombia: Marta López ($600) = $600 ✓
Note: España también supera $500 con $550.</t>
  </si>
  <si>
    <t>RESULTADO CORRECTO (verificado)</t>
  </si>
  <si>
    <t>detalle</t>
  </si>
  <si>
    <t>Juan Pérez: $250+$150 + Luis Torres: $300</t>
  </si>
  <si>
    <t>Marta López: $600</t>
  </si>
  <si>
    <t>Ana García: $450+$100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</si>
</sst>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&quot;$&quot;#,##0"/>
    <numFmt numFmtId="166" formatCode="&quot;$&quot;#,##0.00"/>
    <numFmt numFmtId="167" formatCode="0.0%"/>
  </numFmts>
  <fonts count="15">
    <font>
      <sz val="11"/>
      <color theme="1"/>
      <name val="Calibri"/>
      <family val="2"/>
      <scheme val="minor"/>
    </font>
    <font>
      <b/>
      <sz val="18"/>
      <color rgb="FF1A1A2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1A1A2E"/>
      <name val="Calibri"/>
      <family val="2"/>
      <scheme val="minor"/>
    </font>
    <font>
      <sz val="9"/>
      <color rgb="FF666666"/>
      <name val="Calibri"/>
      <family val="2"/>
      <scheme val="minor"/>
    </font>
    <font>
      <sz val="9"/>
      <color rgb="FFCCCCCC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rgb="FF1A1A2E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D4D4D4"/>
      <name val="Courier New"/>
      <family val="2"/>
    </font>
  </fonts>
  <fills count="13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00B2A9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6BCB77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0A650"/>
        <bgColor indexed="64"/>
      </patternFill>
    </fill>
    <fill>
      <patternFill patternType="solid">
        <fgColor rgb="FF1E1E1E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left" indent="1"/>
    </xf>
    <xf numFmtId="164" fontId="7" fillId="0" borderId="2" xfId="0" applyNumberFormat="1" applyFont="1" applyBorder="1" applyAlignment="1">
      <alignment horizontal="center"/>
    </xf>
    <xf numFmtId="164" fontId="8" fillId="7" borderId="2" xfId="0" applyNumberFormat="1" applyFont="1" applyFill="1" applyBorder="1" applyAlignment="1">
      <alignment horizontal="center"/>
    </xf>
    <xf numFmtId="164" fontId="4" fillId="8" borderId="2" xfId="0" applyNumberFormat="1" applyFont="1" applyFill="1" applyBorder="1" applyAlignment="1">
      <alignment horizontal="center"/>
    </xf>
    <xf numFmtId="164" fontId="9" fillId="9" borderId="2" xfId="0" applyNumberFormat="1" applyFont="1" applyFill="1" applyBorder="1" applyAlignment="1">
      <alignment horizontal="center"/>
    </xf>
    <xf numFmtId="164" fontId="10" fillId="10" borderId="3" xfId="0" applyNumberFormat="1" applyFont="1" applyFill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indent="1"/>
    </xf>
    <xf numFmtId="164" fontId="5" fillId="2" borderId="2" xfId="0" applyNumberFormat="1" applyFont="1" applyFill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5" fontId="3" fillId="11" borderId="4" xfId="0" applyNumberFormat="1" applyFont="1" applyFill="1" applyBorder="1" applyAlignment="1">
      <alignment horizontal="center"/>
    </xf>
    <xf numFmtId="164" fontId="4" fillId="11" borderId="4" xfId="0" applyNumberFormat="1" applyFont="1" applyFill="1" applyBorder="1" applyAlignment="1">
      <alignment horizont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67" fontId="11" fillId="0" borderId="2" xfId="0" applyNumberFormat="1" applyFont="1" applyBorder="1" applyAlignment="1">
      <alignment horizontal="center"/>
    </xf>
    <xf numFmtId="0" fontId="14" fillId="1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HC Requerido por Hora — Semana 27 (MXXPB1)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Lunes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Hora×Hora'!$C$5:$C$28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9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v>Martes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Hora×Hora'!$D$5:$D$28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</c:v>
                </c:pt>
                <c:pt idx="13">
                  <c:v>34</c:v>
                </c:pt>
                <c:pt idx="14">
                  <c:v>34</c:v>
                </c:pt>
                <c:pt idx="15">
                  <c:v>17</c:v>
                </c:pt>
                <c:pt idx="16">
                  <c:v>27</c:v>
                </c:pt>
                <c:pt idx="17">
                  <c:v>25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v>Miércoles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Hora×Hora'!$E$5:$E$28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</c:v>
                </c:pt>
                <c:pt idx="13">
                  <c:v>33</c:v>
                </c:pt>
                <c:pt idx="14">
                  <c:v>32</c:v>
                </c:pt>
                <c:pt idx="15">
                  <c:v>32</c:v>
                </c:pt>
                <c:pt idx="16">
                  <c:v>21</c:v>
                </c:pt>
                <c:pt idx="17">
                  <c:v>22</c:v>
                </c:pt>
                <c:pt idx="18">
                  <c:v>17</c:v>
                </c:pt>
                <c:pt idx="19">
                  <c:v>7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3"/>
          <c:order val="3"/>
          <c:tx>
            <c:v>Jueves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Hora×Hora'!$F$5:$F$28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34</c:v>
                </c:pt>
                <c:pt idx="14">
                  <c:v>34</c:v>
                </c:pt>
                <c:pt idx="15">
                  <c:v>25</c:v>
                </c:pt>
                <c:pt idx="16">
                  <c:v>16</c:v>
                </c:pt>
                <c:pt idx="17">
                  <c:v>24</c:v>
                </c:pt>
                <c:pt idx="18">
                  <c:v>15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4"/>
          <c:order val="4"/>
          <c:tx>
            <c:v>Viernes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Hora×Hora'!$G$5:$G$28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</c:v>
                </c:pt>
                <c:pt idx="13">
                  <c:v>33</c:v>
                </c:pt>
                <c:pt idx="14">
                  <c:v>33</c:v>
                </c:pt>
                <c:pt idx="15">
                  <c:v>21</c:v>
                </c:pt>
                <c:pt idx="16">
                  <c:v>12</c:v>
                </c:pt>
                <c:pt idx="17">
                  <c:v>19</c:v>
                </c:pt>
                <c:pt idx="18">
                  <c:v>15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ser>
          <c:idx val="5"/>
          <c:order val="5"/>
          <c:tx>
            <c:v>Sábado</c:v>
          </c:tx>
          <c:cat>
            <c:strRef>
              <c:f>'1. HC Hora×Hora'!$A$5:$A$28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'1. HC Hora×Hora'!$H$5:$H$28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10</c:v>
                </c:pt>
                <c:pt idx="16">
                  <c:v>9</c:v>
                </c:pt>
                <c:pt idx="17">
                  <c:v>11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 del día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HC Requerido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95250</xdr:rowOff>
    </xdr:from>
    <xdr:to>
      <xdr:col>8</xdr:col>
      <xdr:colOff>352425</xdr:colOff>
      <xdr:row>48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7.7109375" customWidth="1"/>
    <col min="2" max="2" width="10.7109375" customWidth="1"/>
    <col min="3" max="9" width="12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9">
      <c r="A5" s="5" t="s">
        <v>10</v>
      </c>
      <c r="B5" s="6" t="s">
        <v>11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spans="1:9">
      <c r="A6" s="5" t="s">
        <v>12</v>
      </c>
      <c r="B6" s="6" t="s">
        <v>11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9">
      <c r="A7" s="5" t="s">
        <v>13</v>
      </c>
      <c r="B7" s="6" t="s">
        <v>11</v>
      </c>
      <c r="C7" s="7">
        <v>0</v>
      </c>
      <c r="D7" s="7">
        <v>0</v>
      </c>
      <c r="E7" s="7">
        <v>0</v>
      </c>
      <c r="F7" s="7">
        <v>0</v>
      </c>
      <c r="G7" s="8">
        <v>2</v>
      </c>
      <c r="H7" s="7">
        <v>0</v>
      </c>
    </row>
    <row r="8" spans="1:9">
      <c r="A8" s="5" t="s">
        <v>14</v>
      </c>
      <c r="B8" s="6" t="s">
        <v>11</v>
      </c>
      <c r="C8" s="7">
        <v>0</v>
      </c>
      <c r="D8" s="7">
        <v>0</v>
      </c>
      <c r="E8" s="7">
        <v>0</v>
      </c>
      <c r="F8" s="7">
        <v>0</v>
      </c>
      <c r="G8" s="8">
        <v>2</v>
      </c>
      <c r="H8" s="8">
        <v>2</v>
      </c>
    </row>
    <row r="9" spans="1:9">
      <c r="A9" s="5" t="s">
        <v>15</v>
      </c>
      <c r="B9" s="6" t="s">
        <v>11</v>
      </c>
      <c r="C9" s="7">
        <v>0</v>
      </c>
      <c r="D9" s="7">
        <v>0</v>
      </c>
      <c r="E9" s="8">
        <v>2</v>
      </c>
      <c r="F9" s="8">
        <v>2</v>
      </c>
      <c r="G9" s="8">
        <v>2</v>
      </c>
      <c r="H9" s="8">
        <v>2</v>
      </c>
    </row>
    <row r="10" spans="1:9">
      <c r="A10" s="5" t="s">
        <v>16</v>
      </c>
      <c r="B10" s="6" t="s">
        <v>11</v>
      </c>
      <c r="C10" s="7">
        <v>0</v>
      </c>
      <c r="D10" s="8">
        <v>2</v>
      </c>
      <c r="E10" s="8">
        <v>2</v>
      </c>
      <c r="F10" s="8">
        <v>2</v>
      </c>
      <c r="G10" s="7">
        <v>0</v>
      </c>
      <c r="H10" s="8">
        <v>2</v>
      </c>
    </row>
    <row r="11" spans="1:9">
      <c r="A11" s="5" t="s">
        <v>17</v>
      </c>
      <c r="B11" s="6" t="s">
        <v>18</v>
      </c>
      <c r="C11" s="7">
        <v>0</v>
      </c>
      <c r="D11" s="8">
        <v>2</v>
      </c>
      <c r="E11" s="7">
        <v>0</v>
      </c>
      <c r="F11" s="7">
        <v>0</v>
      </c>
      <c r="G11" s="8">
        <v>2</v>
      </c>
      <c r="H11" s="8">
        <v>2</v>
      </c>
    </row>
    <row r="12" spans="1:9">
      <c r="A12" s="5" t="s">
        <v>19</v>
      </c>
      <c r="B12" s="6" t="s">
        <v>18</v>
      </c>
      <c r="C12" s="7">
        <v>0</v>
      </c>
      <c r="D12" s="7">
        <v>0</v>
      </c>
      <c r="E12" s="7">
        <v>0</v>
      </c>
      <c r="F12" s="8">
        <v>2</v>
      </c>
      <c r="G12" s="7">
        <v>0</v>
      </c>
      <c r="H12" s="7">
        <v>0</v>
      </c>
    </row>
    <row r="13" spans="1:9">
      <c r="A13" s="5" t="s">
        <v>20</v>
      </c>
      <c r="B13" s="6" t="s">
        <v>18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9">
      <c r="A14" s="5" t="s">
        <v>21</v>
      </c>
      <c r="B14" s="6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9">
      <c r="A15" s="5" t="s">
        <v>22</v>
      </c>
      <c r="B15" s="6" t="s">
        <v>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9">
      <c r="A16" s="5" t="s">
        <v>23</v>
      </c>
      <c r="B16" s="6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>
      <c r="A17" s="5" t="s">
        <v>24</v>
      </c>
      <c r="B17" s="6" t="s">
        <v>18</v>
      </c>
      <c r="C17" s="9">
        <v>31</v>
      </c>
      <c r="D17" s="9">
        <v>28</v>
      </c>
      <c r="E17" s="10">
        <v>15</v>
      </c>
      <c r="F17" s="8">
        <v>11</v>
      </c>
      <c r="G17" s="10">
        <v>14</v>
      </c>
      <c r="H17" s="8">
        <v>8</v>
      </c>
    </row>
    <row r="18" spans="1:8">
      <c r="A18" s="5" t="s">
        <v>25</v>
      </c>
      <c r="B18" s="6" t="s">
        <v>18</v>
      </c>
      <c r="C18" s="9">
        <v>32</v>
      </c>
      <c r="D18" s="9">
        <v>34</v>
      </c>
      <c r="E18" s="9">
        <v>33</v>
      </c>
      <c r="F18" s="9">
        <v>34</v>
      </c>
      <c r="G18" s="9">
        <v>33</v>
      </c>
      <c r="H18" s="10">
        <v>20</v>
      </c>
    </row>
    <row r="19" spans="1:8">
      <c r="A19" s="5" t="s">
        <v>26</v>
      </c>
      <c r="B19" s="6" t="s">
        <v>27</v>
      </c>
      <c r="C19" s="9">
        <v>33</v>
      </c>
      <c r="D19" s="9">
        <v>34</v>
      </c>
      <c r="E19" s="9">
        <v>32</v>
      </c>
      <c r="F19" s="9">
        <v>34</v>
      </c>
      <c r="G19" s="9">
        <v>33</v>
      </c>
      <c r="H19" s="10">
        <v>24</v>
      </c>
    </row>
    <row r="20" spans="1:8">
      <c r="A20" s="5" t="s">
        <v>28</v>
      </c>
      <c r="B20" s="6" t="s">
        <v>27</v>
      </c>
      <c r="C20" s="9">
        <v>32</v>
      </c>
      <c r="D20" s="10">
        <v>17</v>
      </c>
      <c r="E20" s="9">
        <v>32</v>
      </c>
      <c r="F20" s="10">
        <v>25</v>
      </c>
      <c r="G20" s="10">
        <v>21</v>
      </c>
      <c r="H20" s="8">
        <v>10</v>
      </c>
    </row>
    <row r="21" spans="1:8">
      <c r="A21" s="5" t="s">
        <v>29</v>
      </c>
      <c r="B21" s="6" t="s">
        <v>27</v>
      </c>
      <c r="C21" s="9">
        <v>32</v>
      </c>
      <c r="D21" s="10">
        <v>27</v>
      </c>
      <c r="E21" s="10">
        <v>21</v>
      </c>
      <c r="F21" s="10">
        <v>16</v>
      </c>
      <c r="G21" s="8">
        <v>12</v>
      </c>
      <c r="H21" s="8">
        <v>9</v>
      </c>
    </row>
    <row r="22" spans="1:8">
      <c r="A22" s="5" t="s">
        <v>30</v>
      </c>
      <c r="B22" s="6" t="s">
        <v>27</v>
      </c>
      <c r="C22" s="9">
        <v>32</v>
      </c>
      <c r="D22" s="10">
        <v>25</v>
      </c>
      <c r="E22" s="10">
        <v>22</v>
      </c>
      <c r="F22" s="10">
        <v>24</v>
      </c>
      <c r="G22" s="10">
        <v>19</v>
      </c>
      <c r="H22" s="8">
        <v>11</v>
      </c>
    </row>
    <row r="23" spans="1:8">
      <c r="A23" s="5" t="s">
        <v>31</v>
      </c>
      <c r="B23" s="6" t="s">
        <v>27</v>
      </c>
      <c r="C23" s="9">
        <v>32</v>
      </c>
      <c r="D23" s="8">
        <v>13</v>
      </c>
      <c r="E23" s="10">
        <v>17</v>
      </c>
      <c r="F23" s="10">
        <v>15</v>
      </c>
      <c r="G23" s="10">
        <v>15</v>
      </c>
      <c r="H23" s="8">
        <v>2</v>
      </c>
    </row>
    <row r="24" spans="1:8">
      <c r="A24" s="5" t="s">
        <v>32</v>
      </c>
      <c r="B24" s="6" t="s">
        <v>27</v>
      </c>
      <c r="C24" s="8">
        <v>9</v>
      </c>
      <c r="D24" s="8">
        <v>2</v>
      </c>
      <c r="E24" s="8">
        <v>7</v>
      </c>
      <c r="F24" s="8">
        <v>2</v>
      </c>
      <c r="G24" s="8">
        <v>2</v>
      </c>
      <c r="H24" s="8">
        <v>2</v>
      </c>
    </row>
    <row r="25" spans="1:8">
      <c r="A25" s="5" t="s">
        <v>33</v>
      </c>
      <c r="B25" s="6" t="s">
        <v>27</v>
      </c>
      <c r="C25" s="8">
        <v>2</v>
      </c>
      <c r="D25" s="8">
        <v>2</v>
      </c>
      <c r="E25" s="8">
        <v>2</v>
      </c>
      <c r="F25" s="8">
        <v>2</v>
      </c>
      <c r="G25" s="8">
        <v>2</v>
      </c>
      <c r="H25" s="8">
        <v>2</v>
      </c>
    </row>
    <row r="26" spans="1:8">
      <c r="A26" s="5" t="s">
        <v>34</v>
      </c>
      <c r="B26" s="6" t="s">
        <v>27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>
      <c r="A27" s="5" t="s">
        <v>35</v>
      </c>
      <c r="B27" s="6" t="s">
        <v>11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>
      <c r="A28" s="5" t="s">
        <v>36</v>
      </c>
      <c r="B28" s="6" t="s">
        <v>11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>
      <c r="A29" s="11" t="s">
        <v>37</v>
      </c>
      <c r="B29" s="11" t="s">
        <v>38</v>
      </c>
      <c r="C29" s="11">
        <v>33</v>
      </c>
      <c r="D29" s="11">
        <v>34</v>
      </c>
      <c r="E29" s="11">
        <v>33</v>
      </c>
      <c r="F29" s="11">
        <v>34</v>
      </c>
      <c r="G29" s="11">
        <v>33</v>
      </c>
      <c r="H29" s="11">
        <v>24</v>
      </c>
    </row>
    <row r="31" spans="1:8">
      <c r="A31" s="3" t="s">
        <v>39</v>
      </c>
      <c r="B31" s="3" t="s">
        <v>40</v>
      </c>
      <c r="C31" s="12">
        <v>18400</v>
      </c>
      <c r="D31" s="12">
        <v>13987</v>
      </c>
      <c r="E31" s="12">
        <v>12869</v>
      </c>
      <c r="F31" s="12">
        <v>11380</v>
      </c>
      <c r="G31" s="12">
        <v>10557</v>
      </c>
      <c r="H31" s="12">
        <v>4442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14.7109375" customWidth="1"/>
    <col min="2" max="2" width="22.7109375" customWidth="1"/>
    <col min="3" max="3" width="10.7109375" customWidth="1"/>
    <col min="4" max="9" width="9.7109375" customWidth="1"/>
  </cols>
  <sheetData>
    <row r="1" spans="1:9" ht="32" customHeight="1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42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spans="1:9">
      <c r="A5" s="4" t="s">
        <v>4</v>
      </c>
      <c r="B5" s="13" t="s">
        <v>49</v>
      </c>
      <c r="C5" s="12">
        <v>500</v>
      </c>
      <c r="D5" s="5" t="s">
        <v>24</v>
      </c>
      <c r="E5" s="12">
        <v>2576</v>
      </c>
      <c r="F5" s="14">
        <v>6</v>
      </c>
    </row>
    <row r="6" spans="1:9">
      <c r="A6" s="6"/>
      <c r="B6" s="13" t="s">
        <v>50</v>
      </c>
      <c r="C6" s="12">
        <v>2033</v>
      </c>
      <c r="D6" s="5" t="s">
        <v>24</v>
      </c>
      <c r="E6" s="12">
        <v>0</v>
      </c>
      <c r="F6" s="7">
        <v>0</v>
      </c>
    </row>
    <row r="7" spans="1:9">
      <c r="A7" s="6"/>
      <c r="B7" s="13" t="s">
        <v>51</v>
      </c>
      <c r="C7" s="12">
        <v>600</v>
      </c>
      <c r="D7" s="5" t="s">
        <v>24</v>
      </c>
      <c r="E7" s="12">
        <v>2189</v>
      </c>
      <c r="F7" s="14">
        <v>4</v>
      </c>
    </row>
    <row r="8" spans="1:9">
      <c r="A8" s="6"/>
      <c r="B8" s="13" t="s">
        <v>52</v>
      </c>
      <c r="C8" s="12">
        <v>300</v>
      </c>
      <c r="D8" s="5" t="s">
        <v>24</v>
      </c>
      <c r="E8" s="12">
        <v>2189</v>
      </c>
      <c r="F8" s="14">
        <v>8</v>
      </c>
    </row>
    <row r="9" spans="1:9">
      <c r="A9" s="6"/>
      <c r="B9" s="13" t="s">
        <v>53</v>
      </c>
      <c r="C9" s="12">
        <v>2000</v>
      </c>
      <c r="D9" s="5" t="s">
        <v>24</v>
      </c>
      <c r="E9" s="12">
        <v>2189</v>
      </c>
      <c r="F9" s="14">
        <v>2</v>
      </c>
    </row>
    <row r="10" spans="1:9">
      <c r="A10" s="6"/>
      <c r="B10" s="13" t="s">
        <v>54</v>
      </c>
      <c r="C10" s="12">
        <v>1250</v>
      </c>
      <c r="D10" s="5" t="s">
        <v>24</v>
      </c>
      <c r="E10" s="12">
        <v>386</v>
      </c>
      <c r="F10" s="14">
        <v>1</v>
      </c>
    </row>
    <row r="11" spans="1:9">
      <c r="A11" s="6"/>
      <c r="B11" s="13" t="s">
        <v>55</v>
      </c>
      <c r="C11" s="12">
        <v>45</v>
      </c>
      <c r="D11" s="5" t="s">
        <v>24</v>
      </c>
      <c r="E11" s="12">
        <v>386</v>
      </c>
      <c r="F11" s="14">
        <v>9</v>
      </c>
    </row>
    <row r="12" spans="1:9">
      <c r="A12" s="6"/>
      <c r="B12" s="13" t="s">
        <v>56</v>
      </c>
      <c r="C12" s="12">
        <v>3224</v>
      </c>
      <c r="D12" s="5" t="s">
        <v>26</v>
      </c>
      <c r="E12" s="12">
        <v>3680</v>
      </c>
      <c r="F12" s="14">
        <v>2</v>
      </c>
    </row>
    <row r="13" spans="1:9">
      <c r="A13" s="11"/>
      <c r="B13" s="11" t="s">
        <v>57</v>
      </c>
      <c r="C13" s="11"/>
      <c r="D13" s="11" t="s">
        <v>26</v>
      </c>
      <c r="E13" s="11"/>
      <c r="F13" s="11">
        <v>33</v>
      </c>
    </row>
    <row r="15" spans="1:9">
      <c r="A15" s="4" t="s">
        <v>5</v>
      </c>
      <c r="B15" s="13" t="s">
        <v>49</v>
      </c>
      <c r="C15" s="12">
        <v>500</v>
      </c>
      <c r="D15" s="5" t="s">
        <v>25</v>
      </c>
      <c r="E15" s="12">
        <v>2573</v>
      </c>
      <c r="F15" s="14">
        <v>6</v>
      </c>
    </row>
    <row r="16" spans="1:9">
      <c r="A16" s="6"/>
      <c r="B16" s="13" t="s">
        <v>50</v>
      </c>
      <c r="C16" s="12">
        <v>2033</v>
      </c>
      <c r="D16" s="5" t="s">
        <v>25</v>
      </c>
      <c r="E16" s="12">
        <v>504</v>
      </c>
      <c r="F16" s="14">
        <v>1</v>
      </c>
    </row>
    <row r="17" spans="1:6">
      <c r="A17" s="6"/>
      <c r="B17" s="13" t="s">
        <v>51</v>
      </c>
      <c r="C17" s="12">
        <v>600</v>
      </c>
      <c r="D17" s="5" t="s">
        <v>25</v>
      </c>
      <c r="E17" s="12">
        <v>2377</v>
      </c>
      <c r="F17" s="14">
        <v>4</v>
      </c>
    </row>
    <row r="18" spans="1:6">
      <c r="A18" s="6"/>
      <c r="B18" s="13" t="s">
        <v>52</v>
      </c>
      <c r="C18" s="12">
        <v>300</v>
      </c>
      <c r="D18" s="5" t="s">
        <v>25</v>
      </c>
      <c r="E18" s="12">
        <v>2377</v>
      </c>
      <c r="F18" s="14">
        <v>8</v>
      </c>
    </row>
    <row r="19" spans="1:6">
      <c r="A19" s="6"/>
      <c r="B19" s="13" t="s">
        <v>53</v>
      </c>
      <c r="C19" s="12">
        <v>2000</v>
      </c>
      <c r="D19" s="5" t="s">
        <v>25</v>
      </c>
      <c r="E19" s="12">
        <v>2377</v>
      </c>
      <c r="F19" s="14">
        <v>2</v>
      </c>
    </row>
    <row r="20" spans="1:6">
      <c r="A20" s="6"/>
      <c r="B20" s="13" t="s">
        <v>54</v>
      </c>
      <c r="C20" s="12">
        <v>1250</v>
      </c>
      <c r="D20" s="5" t="s">
        <v>25</v>
      </c>
      <c r="E20" s="12">
        <v>419</v>
      </c>
      <c r="F20" s="14">
        <v>1</v>
      </c>
    </row>
    <row r="21" spans="1:6">
      <c r="A21" s="6"/>
      <c r="B21" s="13" t="s">
        <v>55</v>
      </c>
      <c r="C21" s="12">
        <v>45</v>
      </c>
      <c r="D21" s="5" t="s">
        <v>25</v>
      </c>
      <c r="E21" s="12">
        <v>419</v>
      </c>
      <c r="F21" s="14">
        <v>10</v>
      </c>
    </row>
    <row r="22" spans="1:6">
      <c r="A22" s="6"/>
      <c r="B22" s="13" t="s">
        <v>56</v>
      </c>
      <c r="C22" s="12">
        <v>3224</v>
      </c>
      <c r="D22" s="5" t="s">
        <v>32</v>
      </c>
      <c r="E22" s="12">
        <v>2797</v>
      </c>
      <c r="F22" s="14">
        <v>1</v>
      </c>
    </row>
    <row r="23" spans="1:6">
      <c r="A23" s="11"/>
      <c r="B23" s="11" t="s">
        <v>58</v>
      </c>
      <c r="C23" s="11"/>
      <c r="D23" s="11" t="s">
        <v>25</v>
      </c>
      <c r="E23" s="11"/>
      <c r="F23" s="11">
        <v>34</v>
      </c>
    </row>
    <row r="25" spans="1:6">
      <c r="A25" s="4" t="s">
        <v>6</v>
      </c>
      <c r="B25" s="13" t="s">
        <v>49</v>
      </c>
      <c r="C25" s="12">
        <v>500</v>
      </c>
      <c r="D25" s="5" t="s">
        <v>25</v>
      </c>
      <c r="E25" s="12">
        <v>2528</v>
      </c>
      <c r="F25" s="14">
        <v>6</v>
      </c>
    </row>
    <row r="26" spans="1:6">
      <c r="A26" s="6"/>
      <c r="B26" s="13" t="s">
        <v>50</v>
      </c>
      <c r="C26" s="12">
        <v>2033</v>
      </c>
      <c r="D26" s="5" t="s">
        <v>25</v>
      </c>
      <c r="E26" s="12">
        <v>302</v>
      </c>
      <c r="F26" s="14">
        <v>1</v>
      </c>
    </row>
    <row r="27" spans="1:6">
      <c r="A27" s="6"/>
      <c r="B27" s="13" t="s">
        <v>51</v>
      </c>
      <c r="C27" s="12">
        <v>600</v>
      </c>
      <c r="D27" s="5" t="s">
        <v>25</v>
      </c>
      <c r="E27" s="12">
        <v>2187</v>
      </c>
      <c r="F27" s="14">
        <v>4</v>
      </c>
    </row>
    <row r="28" spans="1:6">
      <c r="A28" s="6"/>
      <c r="B28" s="13" t="s">
        <v>52</v>
      </c>
      <c r="C28" s="12">
        <v>300</v>
      </c>
      <c r="D28" s="5" t="s">
        <v>25</v>
      </c>
      <c r="E28" s="12">
        <v>2187</v>
      </c>
      <c r="F28" s="14">
        <v>8</v>
      </c>
    </row>
    <row r="29" spans="1:6">
      <c r="A29" s="6"/>
      <c r="B29" s="13" t="s">
        <v>53</v>
      </c>
      <c r="C29" s="12">
        <v>2000</v>
      </c>
      <c r="D29" s="5" t="s">
        <v>25</v>
      </c>
      <c r="E29" s="12">
        <v>2187</v>
      </c>
      <c r="F29" s="14">
        <v>2</v>
      </c>
    </row>
    <row r="30" spans="1:6">
      <c r="A30" s="6"/>
      <c r="B30" s="13" t="s">
        <v>54</v>
      </c>
      <c r="C30" s="12">
        <v>1250</v>
      </c>
      <c r="D30" s="5" t="s">
        <v>25</v>
      </c>
      <c r="E30" s="12">
        <v>386</v>
      </c>
      <c r="F30" s="14">
        <v>1</v>
      </c>
    </row>
    <row r="31" spans="1:6">
      <c r="A31" s="6"/>
      <c r="B31" s="13" t="s">
        <v>55</v>
      </c>
      <c r="C31" s="12">
        <v>45</v>
      </c>
      <c r="D31" s="5" t="s">
        <v>25</v>
      </c>
      <c r="E31" s="12">
        <v>386</v>
      </c>
      <c r="F31" s="14">
        <v>9</v>
      </c>
    </row>
    <row r="32" spans="1:6">
      <c r="A32" s="6"/>
      <c r="B32" s="13" t="s">
        <v>56</v>
      </c>
      <c r="C32" s="12">
        <v>3224</v>
      </c>
      <c r="D32" s="5" t="s">
        <v>26</v>
      </c>
      <c r="E32" s="12">
        <v>2316</v>
      </c>
      <c r="F32" s="14">
        <v>1</v>
      </c>
    </row>
    <row r="33" spans="1:6">
      <c r="A33" s="11"/>
      <c r="B33" s="11" t="s">
        <v>59</v>
      </c>
      <c r="C33" s="11"/>
      <c r="D33" s="11" t="s">
        <v>25</v>
      </c>
      <c r="E33" s="11"/>
      <c r="F33" s="11">
        <v>33</v>
      </c>
    </row>
    <row r="35" spans="1:6">
      <c r="A35" s="4" t="s">
        <v>7</v>
      </c>
      <c r="B35" s="13" t="s">
        <v>49</v>
      </c>
      <c r="C35" s="12">
        <v>500</v>
      </c>
      <c r="D35" s="5" t="s">
        <v>25</v>
      </c>
      <c r="E35" s="12">
        <v>2714</v>
      </c>
      <c r="F35" s="14">
        <v>6</v>
      </c>
    </row>
    <row r="36" spans="1:6">
      <c r="A36" s="6"/>
      <c r="B36" s="13" t="s">
        <v>50</v>
      </c>
      <c r="C36" s="12">
        <v>2033</v>
      </c>
      <c r="D36" s="5" t="s">
        <v>25</v>
      </c>
      <c r="E36" s="12">
        <v>358</v>
      </c>
      <c r="F36" s="14">
        <v>1</v>
      </c>
    </row>
    <row r="37" spans="1:6">
      <c r="A37" s="6"/>
      <c r="B37" s="13" t="s">
        <v>51</v>
      </c>
      <c r="C37" s="12">
        <v>600</v>
      </c>
      <c r="D37" s="5" t="s">
        <v>25</v>
      </c>
      <c r="E37" s="12">
        <v>2321</v>
      </c>
      <c r="F37" s="14">
        <v>4</v>
      </c>
    </row>
    <row r="38" spans="1:6">
      <c r="A38" s="6"/>
      <c r="B38" s="13" t="s">
        <v>52</v>
      </c>
      <c r="C38" s="12">
        <v>300</v>
      </c>
      <c r="D38" s="5" t="s">
        <v>25</v>
      </c>
      <c r="E38" s="12">
        <v>2321</v>
      </c>
      <c r="F38" s="14">
        <v>8</v>
      </c>
    </row>
    <row r="39" spans="1:6">
      <c r="A39" s="6"/>
      <c r="B39" s="13" t="s">
        <v>53</v>
      </c>
      <c r="C39" s="12">
        <v>2000</v>
      </c>
      <c r="D39" s="5" t="s">
        <v>25</v>
      </c>
      <c r="E39" s="12">
        <v>2321</v>
      </c>
      <c r="F39" s="14">
        <v>2</v>
      </c>
    </row>
    <row r="40" spans="1:6">
      <c r="A40" s="6"/>
      <c r="B40" s="13" t="s">
        <v>54</v>
      </c>
      <c r="C40" s="12">
        <v>1250</v>
      </c>
      <c r="D40" s="5" t="s">
        <v>25</v>
      </c>
      <c r="E40" s="12">
        <v>409</v>
      </c>
      <c r="F40" s="14">
        <v>1</v>
      </c>
    </row>
    <row r="41" spans="1:6">
      <c r="A41" s="6"/>
      <c r="B41" s="13" t="s">
        <v>55</v>
      </c>
      <c r="C41" s="12">
        <v>45</v>
      </c>
      <c r="D41" s="5" t="s">
        <v>25</v>
      </c>
      <c r="E41" s="12">
        <v>409</v>
      </c>
      <c r="F41" s="14">
        <v>10</v>
      </c>
    </row>
    <row r="42" spans="1:6">
      <c r="A42" s="6"/>
      <c r="B42" s="13" t="s">
        <v>56</v>
      </c>
      <c r="C42" s="12">
        <v>3224</v>
      </c>
      <c r="D42" s="5" t="s">
        <v>26</v>
      </c>
      <c r="E42" s="12">
        <v>2845</v>
      </c>
      <c r="F42" s="14">
        <v>1</v>
      </c>
    </row>
    <row r="43" spans="1:6">
      <c r="A43" s="11"/>
      <c r="B43" s="11" t="s">
        <v>60</v>
      </c>
      <c r="C43" s="11"/>
      <c r="D43" s="11" t="s">
        <v>25</v>
      </c>
      <c r="E43" s="11"/>
      <c r="F43" s="11">
        <v>34</v>
      </c>
    </row>
    <row r="45" spans="1:6">
      <c r="A45" s="4" t="s">
        <v>8</v>
      </c>
      <c r="B45" s="13" t="s">
        <v>49</v>
      </c>
      <c r="C45" s="12">
        <v>500</v>
      </c>
      <c r="D45" s="5" t="s">
        <v>26</v>
      </c>
      <c r="E45" s="12">
        <v>2755</v>
      </c>
      <c r="F45" s="14">
        <v>6</v>
      </c>
    </row>
    <row r="46" spans="1:6">
      <c r="A46" s="6"/>
      <c r="B46" s="13" t="s">
        <v>50</v>
      </c>
      <c r="C46" s="12">
        <v>2033</v>
      </c>
      <c r="D46" s="5" t="s">
        <v>26</v>
      </c>
      <c r="E46" s="12">
        <v>306</v>
      </c>
      <c r="F46" s="14">
        <v>1</v>
      </c>
    </row>
    <row r="47" spans="1:6">
      <c r="A47" s="6"/>
      <c r="B47" s="13" t="s">
        <v>51</v>
      </c>
      <c r="C47" s="12">
        <v>600</v>
      </c>
      <c r="D47" s="5" t="s">
        <v>25</v>
      </c>
      <c r="E47" s="12">
        <v>2243</v>
      </c>
      <c r="F47" s="14">
        <v>4</v>
      </c>
    </row>
    <row r="48" spans="1:6">
      <c r="A48" s="6"/>
      <c r="B48" s="13" t="s">
        <v>52</v>
      </c>
      <c r="C48" s="12">
        <v>300</v>
      </c>
      <c r="D48" s="5" t="s">
        <v>25</v>
      </c>
      <c r="E48" s="12">
        <v>2243</v>
      </c>
      <c r="F48" s="14">
        <v>8</v>
      </c>
    </row>
    <row r="49" spans="1:6">
      <c r="A49" s="6"/>
      <c r="B49" s="13" t="s">
        <v>53</v>
      </c>
      <c r="C49" s="12">
        <v>2000</v>
      </c>
      <c r="D49" s="5" t="s">
        <v>25</v>
      </c>
      <c r="E49" s="12">
        <v>2243</v>
      </c>
      <c r="F49" s="14">
        <v>2</v>
      </c>
    </row>
    <row r="50" spans="1:6">
      <c r="A50" s="6"/>
      <c r="B50" s="13" t="s">
        <v>54</v>
      </c>
      <c r="C50" s="12">
        <v>1250</v>
      </c>
      <c r="D50" s="5" t="s">
        <v>25</v>
      </c>
      <c r="E50" s="12">
        <v>395</v>
      </c>
      <c r="F50" s="14">
        <v>1</v>
      </c>
    </row>
    <row r="51" spans="1:6">
      <c r="A51" s="6"/>
      <c r="B51" s="13" t="s">
        <v>55</v>
      </c>
      <c r="C51" s="12">
        <v>45</v>
      </c>
      <c r="D51" s="5" t="s">
        <v>25</v>
      </c>
      <c r="E51" s="12">
        <v>395</v>
      </c>
      <c r="F51" s="14">
        <v>9</v>
      </c>
    </row>
    <row r="52" spans="1:6">
      <c r="A52" s="6"/>
      <c r="B52" s="13" t="s">
        <v>56</v>
      </c>
      <c r="C52" s="12">
        <v>3224</v>
      </c>
      <c r="D52" s="5" t="s">
        <v>32</v>
      </c>
      <c r="E52" s="12">
        <v>2322</v>
      </c>
      <c r="F52" s="14">
        <v>1</v>
      </c>
    </row>
    <row r="53" spans="1:6">
      <c r="A53" s="11"/>
      <c r="B53" s="11" t="s">
        <v>61</v>
      </c>
      <c r="C53" s="11"/>
      <c r="D53" s="11" t="s">
        <v>25</v>
      </c>
      <c r="E53" s="11"/>
      <c r="F53" s="11">
        <v>33</v>
      </c>
    </row>
    <row r="55" spans="1:6">
      <c r="A55" s="4" t="s">
        <v>9</v>
      </c>
      <c r="B55" s="13" t="s">
        <v>49</v>
      </c>
      <c r="C55" s="12">
        <v>500</v>
      </c>
      <c r="D55" s="5" t="s">
        <v>25</v>
      </c>
      <c r="E55" s="12">
        <v>1284</v>
      </c>
      <c r="F55" s="14">
        <v>3</v>
      </c>
    </row>
    <row r="56" spans="1:6">
      <c r="A56" s="6"/>
      <c r="B56" s="13" t="s">
        <v>50</v>
      </c>
      <c r="C56" s="12">
        <v>2033</v>
      </c>
      <c r="D56" s="5" t="s">
        <v>25</v>
      </c>
      <c r="E56" s="12">
        <v>403</v>
      </c>
      <c r="F56" s="14">
        <v>1</v>
      </c>
    </row>
    <row r="57" spans="1:6">
      <c r="A57" s="6"/>
      <c r="B57" s="13" t="s">
        <v>51</v>
      </c>
      <c r="C57" s="12">
        <v>600</v>
      </c>
      <c r="D57" s="5" t="s">
        <v>26</v>
      </c>
      <c r="E57" s="12">
        <v>1699</v>
      </c>
      <c r="F57" s="14">
        <v>3</v>
      </c>
    </row>
    <row r="58" spans="1:6">
      <c r="A58" s="6"/>
      <c r="B58" s="13" t="s">
        <v>52</v>
      </c>
      <c r="C58" s="12">
        <v>300</v>
      </c>
      <c r="D58" s="5" t="s">
        <v>26</v>
      </c>
      <c r="E58" s="12">
        <v>1699</v>
      </c>
      <c r="F58" s="14">
        <v>6</v>
      </c>
    </row>
    <row r="59" spans="1:6">
      <c r="A59" s="6"/>
      <c r="B59" s="13" t="s">
        <v>53</v>
      </c>
      <c r="C59" s="12">
        <v>2000</v>
      </c>
      <c r="D59" s="5" t="s">
        <v>26</v>
      </c>
      <c r="E59" s="12">
        <v>1699</v>
      </c>
      <c r="F59" s="14">
        <v>1</v>
      </c>
    </row>
    <row r="60" spans="1:6">
      <c r="A60" s="6"/>
      <c r="B60" s="13" t="s">
        <v>54</v>
      </c>
      <c r="C60" s="12">
        <v>1250</v>
      </c>
      <c r="D60" s="5" t="s">
        <v>26</v>
      </c>
      <c r="E60" s="12">
        <v>299</v>
      </c>
      <c r="F60" s="14">
        <v>1</v>
      </c>
    </row>
    <row r="61" spans="1:6">
      <c r="A61" s="6"/>
      <c r="B61" s="13" t="s">
        <v>55</v>
      </c>
      <c r="C61" s="12">
        <v>45</v>
      </c>
      <c r="D61" s="5" t="s">
        <v>26</v>
      </c>
      <c r="E61" s="12">
        <v>299</v>
      </c>
      <c r="F61" s="14">
        <v>7</v>
      </c>
    </row>
    <row r="62" spans="1:6">
      <c r="A62" s="6"/>
      <c r="B62" s="13" t="s">
        <v>56</v>
      </c>
      <c r="C62" s="12">
        <v>3224</v>
      </c>
      <c r="D62" s="5" t="s">
        <v>31</v>
      </c>
      <c r="E62" s="12">
        <v>1288</v>
      </c>
      <c r="F62" s="14">
        <v>1</v>
      </c>
    </row>
    <row r="63" spans="1:6">
      <c r="A63" s="11"/>
      <c r="B63" s="11" t="s">
        <v>62</v>
      </c>
      <c r="C63" s="11"/>
      <c r="D63" s="11" t="s">
        <v>26</v>
      </c>
      <c r="E63" s="11"/>
      <c r="F63" s="11">
        <v>24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zoomScale="90" zoomScaleNormal="90" workbookViewId="0"/>
  </sheetViews>
  <sheetFormatPr defaultRowHeight="15"/>
  <cols>
    <col min="1" max="1" width="22.7109375" customWidth="1"/>
    <col min="2" max="8" width="13.7109375" customWidth="1"/>
  </cols>
  <sheetData>
    <row r="1" spans="1:8" ht="32" customHeight="1">
      <c r="A1" s="1" t="s">
        <v>63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64</v>
      </c>
      <c r="B2" s="2"/>
      <c r="C2" s="2"/>
      <c r="D2" s="2"/>
      <c r="E2" s="2"/>
      <c r="F2" s="2"/>
      <c r="G2" s="2"/>
      <c r="H2" s="2"/>
    </row>
    <row r="4" spans="1:8">
      <c r="A4" s="2" t="s">
        <v>65</v>
      </c>
      <c r="B4" s="2"/>
      <c r="C4" s="2"/>
      <c r="D4" s="2"/>
      <c r="E4" s="2"/>
      <c r="F4" s="2"/>
      <c r="G4" s="2"/>
      <c r="H4" s="2"/>
    </row>
    <row r="5" spans="1:8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73</v>
      </c>
    </row>
    <row r="6" spans="1:8">
      <c r="A6" s="13" t="s">
        <v>74</v>
      </c>
      <c r="B6" s="12">
        <v>6</v>
      </c>
      <c r="C6" s="12">
        <v>8</v>
      </c>
      <c r="D6" s="12">
        <v>1</v>
      </c>
      <c r="E6" s="15">
        <v>3950</v>
      </c>
      <c r="F6" s="12">
        <v>48</v>
      </c>
      <c r="G6" s="16">
        <v>82.29166666666667</v>
      </c>
      <c r="H6" s="6" t="s">
        <v>75</v>
      </c>
    </row>
    <row r="7" spans="1:8">
      <c r="A7" s="13" t="s">
        <v>76</v>
      </c>
      <c r="B7" s="12">
        <v>5</v>
      </c>
      <c r="C7" s="12">
        <v>9.5</v>
      </c>
      <c r="D7" s="12">
        <v>2</v>
      </c>
      <c r="E7" s="15">
        <v>3900</v>
      </c>
      <c r="F7" s="12">
        <v>47.5</v>
      </c>
      <c r="G7" s="16">
        <v>82.10526315789474</v>
      </c>
      <c r="H7" s="6" t="s">
        <v>77</v>
      </c>
    </row>
    <row r="8" spans="1:8">
      <c r="A8" s="13" t="s">
        <v>78</v>
      </c>
      <c r="B8" s="12">
        <v>4</v>
      </c>
      <c r="C8" s="12">
        <v>10.5</v>
      </c>
      <c r="D8" s="12">
        <v>3</v>
      </c>
      <c r="E8" s="15">
        <v>4000</v>
      </c>
      <c r="F8" s="12">
        <v>42</v>
      </c>
      <c r="G8" s="16">
        <v>95.23809523809524</v>
      </c>
      <c r="H8" s="6" t="s">
        <v>79</v>
      </c>
    </row>
    <row r="9" spans="1:8">
      <c r="A9" s="13" t="s">
        <v>80</v>
      </c>
      <c r="B9" s="12">
        <v>1</v>
      </c>
      <c r="C9" s="12">
        <v>8</v>
      </c>
      <c r="D9" s="12">
        <v>6</v>
      </c>
      <c r="E9" s="15">
        <v>920</v>
      </c>
      <c r="F9" s="12">
        <v>8</v>
      </c>
      <c r="G9" s="16">
        <v>115</v>
      </c>
      <c r="H9" s="6" t="s">
        <v>81</v>
      </c>
    </row>
    <row r="11" spans="1:8">
      <c r="A11" s="2" t="s">
        <v>82</v>
      </c>
      <c r="B11" s="2"/>
      <c r="C11" s="2"/>
      <c r="D11" s="2"/>
      <c r="E11" s="2"/>
      <c r="F11" s="2"/>
      <c r="G11" s="2"/>
      <c r="H11" s="2"/>
    </row>
    <row r="12" spans="1:8">
      <c r="A12" s="3" t="s">
        <v>83</v>
      </c>
      <c r="B12" s="3" t="s">
        <v>74</v>
      </c>
      <c r="C12" s="3" t="s">
        <v>76</v>
      </c>
      <c r="D12" s="3" t="s">
        <v>84</v>
      </c>
      <c r="E12" s="3" t="s">
        <v>85</v>
      </c>
      <c r="F12" s="3" t="s">
        <v>86</v>
      </c>
      <c r="G12" s="3" t="s">
        <v>87</v>
      </c>
      <c r="H12" s="3" t="s">
        <v>88</v>
      </c>
    </row>
    <row r="13" spans="1:8">
      <c r="A13" s="13" t="s">
        <v>89</v>
      </c>
      <c r="B13" s="12">
        <v>33</v>
      </c>
      <c r="C13" s="12">
        <v>0</v>
      </c>
      <c r="D13" s="12">
        <v>2</v>
      </c>
      <c r="E13" s="15">
        <v>130350</v>
      </c>
      <c r="F13" s="15">
        <v>1840</v>
      </c>
      <c r="G13" s="15">
        <v>132190</v>
      </c>
      <c r="H13" s="6"/>
    </row>
    <row r="14" spans="1:8">
      <c r="A14" s="13" t="s">
        <v>90</v>
      </c>
      <c r="B14" s="12">
        <v>0</v>
      </c>
      <c r="C14" s="12">
        <v>33</v>
      </c>
      <c r="D14" s="12">
        <v>26</v>
      </c>
      <c r="E14" s="15">
        <v>128700</v>
      </c>
      <c r="F14" s="15">
        <v>23920</v>
      </c>
      <c r="G14" s="15">
        <v>152620</v>
      </c>
      <c r="H14" s="6"/>
    </row>
    <row r="15" spans="1:8">
      <c r="A15" s="13" t="s">
        <v>91</v>
      </c>
      <c r="B15" s="12">
        <v>24</v>
      </c>
      <c r="C15" s="12">
        <v>9</v>
      </c>
      <c r="D15" s="12">
        <v>2</v>
      </c>
      <c r="E15" s="15">
        <v>129900</v>
      </c>
      <c r="F15" s="15">
        <v>1840</v>
      </c>
      <c r="G15" s="17">
        <v>131740</v>
      </c>
      <c r="H15" s="18" t="s">
        <v>92</v>
      </c>
    </row>
    <row r="17" spans="1:8">
      <c r="A17" s="2" t="s">
        <v>93</v>
      </c>
      <c r="B17" s="2"/>
      <c r="C17" s="2"/>
      <c r="D17" s="2"/>
      <c r="E17" s="2"/>
      <c r="F17" s="2"/>
      <c r="G17" s="2"/>
      <c r="H17" s="2"/>
    </row>
    <row r="18" spans="1:8">
      <c r="A18" s="3" t="s">
        <v>43</v>
      </c>
      <c r="B18" s="3" t="s">
        <v>94</v>
      </c>
      <c r="C18" s="3" t="s">
        <v>95</v>
      </c>
      <c r="D18" s="3" t="s">
        <v>96</v>
      </c>
      <c r="E18" s="3" t="s">
        <v>97</v>
      </c>
      <c r="F18" s="3" t="s">
        <v>98</v>
      </c>
      <c r="G18" s="3" t="s">
        <v>99</v>
      </c>
      <c r="H18" s="3" t="s">
        <v>100</v>
      </c>
    </row>
    <row r="19" spans="1:8">
      <c r="A19" s="4" t="s">
        <v>4</v>
      </c>
      <c r="B19" s="12">
        <v>33</v>
      </c>
      <c r="C19" s="12">
        <v>33</v>
      </c>
      <c r="D19" s="12">
        <v>0</v>
      </c>
      <c r="E19" s="11">
        <v>33</v>
      </c>
      <c r="F19" s="12">
        <v>0</v>
      </c>
      <c r="G19" s="15">
        <v>0</v>
      </c>
      <c r="H19" s="18" t="s">
        <v>101</v>
      </c>
    </row>
    <row r="20" spans="1:8">
      <c r="A20" s="4" t="s">
        <v>5</v>
      </c>
      <c r="B20" s="12">
        <v>34</v>
      </c>
      <c r="C20" s="12">
        <v>33</v>
      </c>
      <c r="D20" s="10">
        <v>1</v>
      </c>
      <c r="E20" s="11">
        <v>34</v>
      </c>
      <c r="F20" s="12">
        <v>0</v>
      </c>
      <c r="G20" s="15">
        <v>920</v>
      </c>
      <c r="H20" s="18" t="s">
        <v>101</v>
      </c>
    </row>
    <row r="21" spans="1:8">
      <c r="A21" s="4" t="s">
        <v>6</v>
      </c>
      <c r="B21" s="12">
        <v>33</v>
      </c>
      <c r="C21" s="12">
        <v>33</v>
      </c>
      <c r="D21" s="12">
        <v>0</v>
      </c>
      <c r="E21" s="11">
        <v>33</v>
      </c>
      <c r="F21" s="12">
        <v>0</v>
      </c>
      <c r="G21" s="15">
        <v>0</v>
      </c>
      <c r="H21" s="18" t="s">
        <v>101</v>
      </c>
    </row>
    <row r="22" spans="1:8">
      <c r="A22" s="4" t="s">
        <v>7</v>
      </c>
      <c r="B22" s="12">
        <v>34</v>
      </c>
      <c r="C22" s="12">
        <v>33</v>
      </c>
      <c r="D22" s="10">
        <v>1</v>
      </c>
      <c r="E22" s="11">
        <v>34</v>
      </c>
      <c r="F22" s="12">
        <v>0</v>
      </c>
      <c r="G22" s="15">
        <v>920</v>
      </c>
      <c r="H22" s="18" t="s">
        <v>101</v>
      </c>
    </row>
    <row r="23" spans="1:8">
      <c r="A23" s="4" t="s">
        <v>8</v>
      </c>
      <c r="B23" s="12">
        <v>33</v>
      </c>
      <c r="C23" s="12">
        <v>33</v>
      </c>
      <c r="D23" s="12">
        <v>0</v>
      </c>
      <c r="E23" s="11">
        <v>33</v>
      </c>
      <c r="F23" s="12">
        <v>0</v>
      </c>
      <c r="G23" s="15">
        <v>0</v>
      </c>
      <c r="H23" s="18" t="s">
        <v>101</v>
      </c>
    </row>
    <row r="24" spans="1:8">
      <c r="A24" s="4" t="s">
        <v>9</v>
      </c>
      <c r="B24" s="12">
        <v>24</v>
      </c>
      <c r="C24" s="12">
        <v>24</v>
      </c>
      <c r="D24" s="12">
        <v>0</v>
      </c>
      <c r="E24" s="11">
        <v>24</v>
      </c>
      <c r="F24" s="12">
        <v>0</v>
      </c>
      <c r="G24" s="15">
        <v>0</v>
      </c>
      <c r="H24" s="18" t="s">
        <v>101</v>
      </c>
    </row>
    <row r="25" spans="1:8">
      <c r="A25" s="11" t="s">
        <v>102</v>
      </c>
      <c r="B25" s="11"/>
      <c r="C25" s="11" t="s">
        <v>103</v>
      </c>
      <c r="D25" s="11">
        <v>2</v>
      </c>
      <c r="E25" s="11"/>
      <c r="F25" s="11"/>
      <c r="G25" s="17">
        <v>131740</v>
      </c>
      <c r="H25" s="11" t="s">
        <v>104</v>
      </c>
    </row>
  </sheetData>
  <mergeCells count="5">
    <mergeCell ref="A1:H1"/>
    <mergeCell ref="A2:H2"/>
    <mergeCell ref="A4:H4"/>
    <mergeCell ref="A11:H11"/>
    <mergeCell ref="A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zoomScale="90" zoomScaleNormal="90" workbookViewId="0"/>
  </sheetViews>
  <sheetFormatPr defaultRowHeight="15"/>
  <cols>
    <col min="1" max="1" width="28.7109375" customWidth="1"/>
    <col min="2" max="6" width="18.7109375" customWidth="1"/>
  </cols>
  <sheetData>
    <row r="1" spans="1:6" ht="32" customHeight="1">
      <c r="A1" s="1" t="s">
        <v>105</v>
      </c>
      <c r="B1" s="1"/>
      <c r="C1" s="1"/>
      <c r="D1" s="1"/>
      <c r="E1" s="1"/>
      <c r="F1" s="1"/>
    </row>
    <row r="2" spans="1:6" ht="20" customHeight="1">
      <c r="A2" s="2" t="s">
        <v>106</v>
      </c>
      <c r="B2" s="2"/>
      <c r="C2" s="2"/>
      <c r="D2" s="2"/>
      <c r="E2" s="2"/>
      <c r="F2" s="2"/>
    </row>
    <row r="4" spans="1:6">
      <c r="A4" s="2" t="s">
        <v>107</v>
      </c>
      <c r="B4" s="2"/>
      <c r="C4" s="2"/>
      <c r="D4" s="2"/>
      <c r="E4" s="2"/>
      <c r="F4" s="2"/>
    </row>
    <row r="6" spans="1:6" ht="30" customHeight="1">
      <c r="A6" s="19" t="s">
        <v>108</v>
      </c>
      <c r="B6" s="20" t="s">
        <v>109</v>
      </c>
      <c r="C6" s="20"/>
      <c r="D6" s="20"/>
      <c r="E6" s="20"/>
      <c r="F6" s="20"/>
    </row>
    <row r="8" spans="1:6" ht="30" customHeight="1">
      <c r="A8" s="19" t="s">
        <v>110</v>
      </c>
      <c r="B8" s="20" t="s">
        <v>111</v>
      </c>
      <c r="C8" s="20"/>
      <c r="D8" s="20"/>
      <c r="E8" s="20"/>
      <c r="F8" s="20"/>
    </row>
    <row r="10" spans="1:6" ht="30" customHeight="1">
      <c r="A10" s="19" t="s">
        <v>112</v>
      </c>
      <c r="B10" s="20" t="s">
        <v>113</v>
      </c>
      <c r="C10" s="20"/>
      <c r="D10" s="20"/>
      <c r="E10" s="20"/>
      <c r="F10" s="20"/>
    </row>
    <row r="12" spans="1:6" ht="30" customHeight="1">
      <c r="A12" s="19" t="s">
        <v>114</v>
      </c>
      <c r="B12" s="20" t="s">
        <v>115</v>
      </c>
      <c r="C12" s="20"/>
      <c r="D12" s="20"/>
      <c r="E12" s="20"/>
      <c r="F12" s="20"/>
    </row>
    <row r="14" spans="1:6" ht="30" customHeight="1">
      <c r="A14" s="19" t="s">
        <v>116</v>
      </c>
      <c r="B14" s="20" t="s">
        <v>117</v>
      </c>
      <c r="C14" s="20"/>
      <c r="D14" s="20"/>
      <c r="E14" s="20"/>
      <c r="F14" s="20"/>
    </row>
    <row r="16" spans="1:6" ht="30" customHeight="1">
      <c r="A16" s="19" t="s">
        <v>118</v>
      </c>
      <c r="B16" s="20" t="s">
        <v>119</v>
      </c>
      <c r="C16" s="20"/>
      <c r="D16" s="20"/>
      <c r="E16" s="20"/>
      <c r="F16" s="20"/>
    </row>
    <row r="18" spans="1:6">
      <c r="A18" s="2" t="s">
        <v>120</v>
      </c>
      <c r="B18" s="2"/>
      <c r="C18" s="2"/>
      <c r="D18" s="2"/>
      <c r="E18" s="2"/>
      <c r="F18" s="2"/>
    </row>
    <row r="19" spans="1:6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</row>
    <row r="20" spans="1:6">
      <c r="A20" s="5" t="s">
        <v>127</v>
      </c>
      <c r="B20" s="12">
        <v>75922</v>
      </c>
      <c r="C20" s="21">
        <v>0.05985669961447093</v>
      </c>
      <c r="D20" s="12">
        <v>34</v>
      </c>
      <c r="E20" s="14">
        <v>34</v>
      </c>
      <c r="F20" s="7">
        <v>0</v>
      </c>
    </row>
    <row r="21" spans="1:6">
      <c r="A21" s="5" t="s">
        <v>128</v>
      </c>
      <c r="B21" s="12">
        <v>64919</v>
      </c>
      <c r="C21" s="21">
        <v>-0.09374731119433327</v>
      </c>
      <c r="D21" s="12">
        <v>29</v>
      </c>
      <c r="E21" s="14">
        <v>32</v>
      </c>
      <c r="F21" s="7">
        <v>0</v>
      </c>
    </row>
    <row r="22" spans="1:6">
      <c r="A22" s="5" t="s">
        <v>129</v>
      </c>
      <c r="B22" s="12">
        <v>69396</v>
      </c>
      <c r="C22" s="21">
        <v>-0.03124267040772019</v>
      </c>
      <c r="D22" s="12">
        <v>31</v>
      </c>
      <c r="E22" s="14">
        <v>32</v>
      </c>
      <c r="F22" s="7">
        <v>0</v>
      </c>
    </row>
    <row r="23" spans="1:6">
      <c r="A23" s="5" t="s">
        <v>130</v>
      </c>
      <c r="B23" s="12">
        <v>68468</v>
      </c>
      <c r="C23" s="21">
        <v>-0.04419731546279432</v>
      </c>
      <c r="D23" s="12">
        <v>31</v>
      </c>
      <c r="E23" s="14">
        <v>31</v>
      </c>
      <c r="F23" s="7">
        <v>0</v>
      </c>
    </row>
    <row r="24" spans="1:6">
      <c r="A24" s="5" t="s">
        <v>131</v>
      </c>
      <c r="B24" s="12">
        <v>77660</v>
      </c>
      <c r="C24" s="21">
        <v>0.08411780354100309</v>
      </c>
      <c r="D24" s="12">
        <v>35</v>
      </c>
      <c r="E24" s="14">
        <v>33</v>
      </c>
      <c r="F24" s="10">
        <v>2</v>
      </c>
    </row>
    <row r="25" spans="1:6">
      <c r="A25" s="5" t="s">
        <v>132</v>
      </c>
      <c r="B25" s="12">
        <v>76590</v>
      </c>
      <c r="C25" s="21">
        <v>0.06917487185572782</v>
      </c>
      <c r="D25" s="12">
        <v>35</v>
      </c>
      <c r="E25" s="14">
        <v>34</v>
      </c>
      <c r="F25" s="10">
        <v>1</v>
      </c>
    </row>
    <row r="26" spans="1:6">
      <c r="A26" s="5" t="s">
        <v>133</v>
      </c>
      <c r="B26" s="12">
        <v>80449</v>
      </c>
      <c r="C26" s="21">
        <v>0.1230448919262113</v>
      </c>
      <c r="D26" s="12">
        <v>36</v>
      </c>
      <c r="E26" s="14">
        <v>36</v>
      </c>
      <c r="F26" s="7">
        <v>0</v>
      </c>
    </row>
    <row r="27" spans="1:6">
      <c r="A27" s="5" t="s">
        <v>134</v>
      </c>
      <c r="B27" s="12">
        <v>66028</v>
      </c>
      <c r="C27" s="21">
        <v>-0.07826529184264597</v>
      </c>
      <c r="D27" s="12">
        <v>30</v>
      </c>
      <c r="E27" s="14">
        <v>34</v>
      </c>
      <c r="F27" s="7">
        <v>0</v>
      </c>
    </row>
    <row r="28" spans="1:6">
      <c r="A28" s="5" t="s">
        <v>135</v>
      </c>
      <c r="B28" s="12">
        <v>72027</v>
      </c>
      <c r="C28" s="21">
        <v>0.005480454921317601</v>
      </c>
      <c r="D28" s="12">
        <v>33</v>
      </c>
      <c r="E28" s="14">
        <v>33</v>
      </c>
      <c r="F28" s="7">
        <v>0</v>
      </c>
    </row>
    <row r="29" spans="1:6">
      <c r="A29" s="5" t="s">
        <v>136</v>
      </c>
      <c r="B29" s="12">
        <v>65005</v>
      </c>
      <c r="C29" s="21">
        <v>-0.09255069514048242</v>
      </c>
      <c r="D29" s="12">
        <v>29</v>
      </c>
      <c r="E29" s="14">
        <v>31</v>
      </c>
      <c r="F29" s="7">
        <v>0</v>
      </c>
    </row>
    <row r="30" spans="1:6">
      <c r="A30" s="5" t="s">
        <v>137</v>
      </c>
      <c r="B30" s="12">
        <v>68387</v>
      </c>
      <c r="C30" s="21">
        <v>-0.04534050629909916</v>
      </c>
      <c r="D30" s="12">
        <v>31</v>
      </c>
      <c r="E30" s="14">
        <v>31</v>
      </c>
      <c r="F30" s="7">
        <v>0</v>
      </c>
    </row>
    <row r="31" spans="1:6">
      <c r="A31" s="5" t="s">
        <v>138</v>
      </c>
      <c r="B31" s="12">
        <v>73521</v>
      </c>
      <c r="C31" s="21">
        <v>0.02633882202584059</v>
      </c>
      <c r="D31" s="12">
        <v>33</v>
      </c>
      <c r="E31" s="14">
        <v>31</v>
      </c>
      <c r="F31" s="10">
        <v>2</v>
      </c>
    </row>
    <row r="33" spans="1:6">
      <c r="A33" s="2" t="s">
        <v>139</v>
      </c>
      <c r="B33" s="2"/>
      <c r="C33" s="2"/>
      <c r="D33" s="2"/>
      <c r="E33" s="2"/>
      <c r="F33" s="2"/>
    </row>
    <row r="35" spans="1:6" ht="28" customHeight="1">
      <c r="A35" s="19" t="s">
        <v>140</v>
      </c>
      <c r="B35" s="20" t="s">
        <v>141</v>
      </c>
      <c r="C35" s="20"/>
      <c r="D35" s="20"/>
      <c r="E35" s="20"/>
      <c r="F35" s="20"/>
    </row>
    <row r="37" spans="1:6" ht="28" customHeight="1">
      <c r="A37" s="19" t="s">
        <v>142</v>
      </c>
      <c r="B37" s="20" t="s">
        <v>143</v>
      </c>
      <c r="C37" s="20"/>
      <c r="D37" s="20"/>
      <c r="E37" s="20"/>
      <c r="F37" s="20"/>
    </row>
    <row r="39" spans="1:6" ht="28" customHeight="1">
      <c r="A39" s="19" t="s">
        <v>144</v>
      </c>
      <c r="B39" s="20" t="s">
        <v>145</v>
      </c>
      <c r="C39" s="20"/>
      <c r="D39" s="20"/>
      <c r="E39" s="20"/>
      <c r="F39" s="20"/>
    </row>
    <row r="41" spans="1:6" ht="28" customHeight="1">
      <c r="A41" s="19" t="s">
        <v>146</v>
      </c>
      <c r="B41" s="20" t="s">
        <v>147</v>
      </c>
      <c r="C41" s="20"/>
      <c r="D41" s="20"/>
      <c r="E41" s="20"/>
      <c r="F41" s="20"/>
    </row>
    <row r="43" spans="1:6" ht="28" customHeight="1">
      <c r="A43" s="19" t="s">
        <v>148</v>
      </c>
      <c r="B43" s="20" t="s">
        <v>149</v>
      </c>
      <c r="C43" s="20"/>
      <c r="D43" s="20"/>
      <c r="E43" s="20"/>
      <c r="F43" s="20"/>
    </row>
    <row r="45" spans="1:6" ht="28" customHeight="1">
      <c r="A45" s="19" t="s">
        <v>150</v>
      </c>
      <c r="B45" s="20" t="s">
        <v>151</v>
      </c>
      <c r="C45" s="20"/>
      <c r="D45" s="20"/>
      <c r="E45" s="20"/>
      <c r="F45" s="20"/>
    </row>
  </sheetData>
  <mergeCells count="17">
    <mergeCell ref="A1:F1"/>
    <mergeCell ref="A2:F2"/>
    <mergeCell ref="A4:F4"/>
    <mergeCell ref="B6:F6"/>
    <mergeCell ref="B8:F8"/>
    <mergeCell ref="B10:F10"/>
    <mergeCell ref="B12:F12"/>
    <mergeCell ref="B14:F14"/>
    <mergeCell ref="B16:F16"/>
    <mergeCell ref="A18:F18"/>
    <mergeCell ref="A33:F33"/>
    <mergeCell ref="B35:F35"/>
    <mergeCell ref="B37:F37"/>
    <mergeCell ref="B39:F39"/>
    <mergeCell ref="B41:F41"/>
    <mergeCell ref="B43:F43"/>
    <mergeCell ref="B45:F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"/>
  <sheetViews>
    <sheetView zoomScale="90" zoomScaleNormal="90" workbookViewId="0"/>
  </sheetViews>
  <sheetFormatPr defaultRowHeight="15"/>
  <cols>
    <col min="1" max="1" width="30.7109375" customWidth="1"/>
    <col min="2" max="2" width="18.7109375" customWidth="1"/>
    <col min="3" max="3" width="35.7109375" customWidth="1"/>
    <col min="4" max="6" width="18.7109375" customWidth="1"/>
    <col min="7" max="7" width="12.7109375" customWidth="1"/>
  </cols>
  <sheetData>
    <row r="1" spans="1:7" ht="32" customHeight="1">
      <c r="A1" s="1" t="s">
        <v>152</v>
      </c>
      <c r="B1" s="1"/>
      <c r="C1" s="1"/>
      <c r="D1" s="1"/>
      <c r="E1" s="1"/>
      <c r="F1" s="1"/>
    </row>
    <row r="2" spans="1:7" ht="20" customHeight="1">
      <c r="A2" s="2" t="s">
        <v>153</v>
      </c>
      <c r="B2" s="2"/>
      <c r="C2" s="2"/>
      <c r="D2" s="2"/>
      <c r="E2" s="2"/>
      <c r="F2" s="2"/>
    </row>
    <row r="4" spans="1:7">
      <c r="A4" s="2" t="s">
        <v>154</v>
      </c>
      <c r="B4" s="2"/>
      <c r="C4" s="2"/>
      <c r="D4" s="2" t="s">
        <v>165</v>
      </c>
      <c r="E4" s="2"/>
      <c r="F4" s="2"/>
    </row>
    <row r="5" spans="1:7">
      <c r="A5" s="3" t="s">
        <v>155</v>
      </c>
      <c r="B5" s="3" t="s">
        <v>156</v>
      </c>
      <c r="C5" s="3" t="s">
        <v>157</v>
      </c>
      <c r="D5" s="3" t="s">
        <v>166</v>
      </c>
      <c r="E5" s="3" t="s">
        <v>155</v>
      </c>
      <c r="F5" s="3" t="s">
        <v>167</v>
      </c>
      <c r="G5" s="3" t="s">
        <v>168</v>
      </c>
    </row>
    <row r="6" spans="1:7">
      <c r="A6" s="12">
        <v>1</v>
      </c>
      <c r="B6" s="6" t="s">
        <v>158</v>
      </c>
      <c r="C6" s="6" t="s">
        <v>159</v>
      </c>
      <c r="D6" s="12">
        <v>101</v>
      </c>
      <c r="E6" s="12">
        <v>1</v>
      </c>
      <c r="F6" s="6" t="s">
        <v>169</v>
      </c>
      <c r="G6" s="12">
        <v>250</v>
      </c>
    </row>
    <row r="7" spans="1:7">
      <c r="A7" s="12">
        <v>2</v>
      </c>
      <c r="B7" s="6" t="s">
        <v>160</v>
      </c>
      <c r="C7" s="6" t="s">
        <v>161</v>
      </c>
      <c r="D7" s="12">
        <v>102</v>
      </c>
      <c r="E7" s="12">
        <v>2</v>
      </c>
      <c r="F7" s="6" t="s">
        <v>170</v>
      </c>
      <c r="G7" s="12">
        <v>450</v>
      </c>
    </row>
    <row r="8" spans="1:7">
      <c r="A8" s="12">
        <v>3</v>
      </c>
      <c r="B8" s="6" t="s">
        <v>162</v>
      </c>
      <c r="C8" s="6" t="s">
        <v>159</v>
      </c>
      <c r="D8" s="12">
        <v>103</v>
      </c>
      <c r="E8" s="12">
        <v>3</v>
      </c>
      <c r="F8" s="6" t="s">
        <v>171</v>
      </c>
      <c r="G8" s="12">
        <v>300</v>
      </c>
    </row>
    <row r="9" spans="1:7">
      <c r="A9" s="12">
        <v>4</v>
      </c>
      <c r="B9" s="6" t="s">
        <v>163</v>
      </c>
      <c r="C9" s="6" t="s">
        <v>164</v>
      </c>
      <c r="D9" s="12">
        <v>104</v>
      </c>
      <c r="E9" s="12">
        <v>1</v>
      </c>
      <c r="F9" s="6" t="s">
        <v>172</v>
      </c>
      <c r="G9" s="12">
        <v>150</v>
      </c>
    </row>
    <row r="10" spans="1:7">
      <c r="D10" s="12">
        <v>105</v>
      </c>
      <c r="E10" s="12">
        <v>4</v>
      </c>
      <c r="F10" s="6" t="s">
        <v>173</v>
      </c>
      <c r="G10" s="12">
        <v>600</v>
      </c>
    </row>
    <row r="11" spans="1:7">
      <c r="D11" s="12">
        <v>106</v>
      </c>
      <c r="E11" s="12">
        <v>2</v>
      </c>
      <c r="F11" s="6" t="s">
        <v>174</v>
      </c>
      <c r="G11" s="12">
        <v>100</v>
      </c>
    </row>
    <row r="13" spans="1:7">
      <c r="A13" s="2" t="s">
        <v>175</v>
      </c>
      <c r="B13" s="2"/>
      <c r="C13" s="2"/>
      <c r="D13" s="2"/>
      <c r="E13" s="2"/>
      <c r="F13" s="2"/>
      <c r="G13" s="2"/>
    </row>
    <row r="14" spans="1:7" ht="18" customHeight="1">
      <c r="A14" s="22" t="s">
        <v>176</v>
      </c>
      <c r="B14" s="22"/>
      <c r="C14" s="22"/>
      <c r="D14" s="22"/>
      <c r="E14" s="22"/>
      <c r="F14" s="22"/>
      <c r="G14" s="22"/>
    </row>
    <row r="15" spans="1:7" ht="18" customHeight="1">
      <c r="A15" s="22"/>
      <c r="B15" s="22"/>
      <c r="C15" s="22"/>
      <c r="D15" s="22"/>
      <c r="E15" s="22"/>
      <c r="F15" s="22"/>
      <c r="G15" s="22"/>
    </row>
    <row r="16" spans="1:7" ht="18" customHeight="1">
      <c r="A16" s="22"/>
      <c r="B16" s="22"/>
      <c r="C16" s="22"/>
      <c r="D16" s="22"/>
      <c r="E16" s="22"/>
      <c r="F16" s="22"/>
      <c r="G16" s="22"/>
    </row>
    <row r="17" spans="1:7" ht="18" customHeight="1">
      <c r="A17" s="22"/>
      <c r="B17" s="22"/>
      <c r="C17" s="22"/>
      <c r="D17" s="22"/>
      <c r="E17" s="22"/>
      <c r="F17" s="22"/>
      <c r="G17" s="22"/>
    </row>
    <row r="18" spans="1:7" ht="18" customHeight="1">
      <c r="A18" s="22"/>
      <c r="B18" s="22"/>
      <c r="C18" s="22"/>
      <c r="D18" s="22"/>
      <c r="E18" s="22"/>
      <c r="F18" s="22"/>
      <c r="G18" s="22"/>
    </row>
    <row r="19" spans="1:7" ht="18" customHeight="1">
      <c r="A19" s="22"/>
      <c r="B19" s="22"/>
      <c r="C19" s="22"/>
      <c r="D19" s="22"/>
      <c r="E19" s="22"/>
      <c r="F19" s="22"/>
      <c r="G19" s="22"/>
    </row>
    <row r="20" spans="1:7" ht="18" customHeight="1">
      <c r="A20" s="22"/>
      <c r="B20" s="22"/>
      <c r="C20" s="22"/>
      <c r="D20" s="22"/>
      <c r="E20" s="22"/>
      <c r="F20" s="22"/>
      <c r="G20" s="22"/>
    </row>
    <row r="21" spans="1:7" ht="18" customHeight="1">
      <c r="A21" s="22"/>
      <c r="B21" s="22"/>
      <c r="C21" s="22"/>
      <c r="D21" s="22"/>
      <c r="E21" s="22"/>
      <c r="F21" s="22"/>
      <c r="G21" s="22"/>
    </row>
    <row r="23" spans="1:7">
      <c r="A23" s="2" t="s">
        <v>177</v>
      </c>
      <c r="B23" s="2"/>
      <c r="C23" s="2"/>
      <c r="D23" s="2"/>
      <c r="E23" s="2"/>
      <c r="F23" s="2"/>
      <c r="G23" s="2"/>
    </row>
    <row r="24" spans="1:7">
      <c r="A24" s="3" t="s">
        <v>157</v>
      </c>
      <c r="B24" s="3" t="s">
        <v>178</v>
      </c>
    </row>
    <row r="25" spans="1:7">
      <c r="A25" s="6" t="s">
        <v>159</v>
      </c>
      <c r="B25" s="12">
        <v>700</v>
      </c>
    </row>
    <row r="26" spans="1:7">
      <c r="A26" s="6" t="s">
        <v>164</v>
      </c>
      <c r="B26" s="12">
        <v>600</v>
      </c>
    </row>
    <row r="28" spans="1:7">
      <c r="A28" s="2" t="s">
        <v>179</v>
      </c>
      <c r="B28" s="2"/>
      <c r="C28" s="2"/>
      <c r="D28" s="2"/>
      <c r="E28" s="2"/>
      <c r="F28" s="2"/>
      <c r="G28" s="2"/>
    </row>
    <row r="30" spans="1:7" ht="28" customHeight="1">
      <c r="A30" s="19" t="s">
        <v>180</v>
      </c>
      <c r="B30" s="20" t="s">
        <v>181</v>
      </c>
      <c r="C30" s="20"/>
      <c r="D30" s="20"/>
      <c r="E30" s="20"/>
      <c r="F30" s="20"/>
      <c r="G30" s="20"/>
    </row>
    <row r="32" spans="1:7" ht="28" customHeight="1">
      <c r="A32" s="19" t="s">
        <v>182</v>
      </c>
      <c r="B32" s="20" t="s">
        <v>183</v>
      </c>
      <c r="C32" s="20"/>
      <c r="D32" s="20"/>
      <c r="E32" s="20"/>
      <c r="F32" s="20"/>
      <c r="G32" s="20"/>
    </row>
    <row r="34" spans="1:7" ht="28" customHeight="1">
      <c r="A34" s="19" t="s">
        <v>184</v>
      </c>
      <c r="B34" s="20" t="s">
        <v>185</v>
      </c>
      <c r="C34" s="20"/>
      <c r="D34" s="20"/>
      <c r="E34" s="20"/>
      <c r="F34" s="20"/>
      <c r="G34" s="20"/>
    </row>
    <row r="36" spans="1:7" ht="28" customHeight="1">
      <c r="A36" s="19" t="s">
        <v>186</v>
      </c>
      <c r="B36" s="20" t="s">
        <v>187</v>
      </c>
      <c r="C36" s="20"/>
      <c r="D36" s="20"/>
      <c r="E36" s="20"/>
      <c r="F36" s="20"/>
      <c r="G36" s="20"/>
    </row>
    <row r="38" spans="1:7" ht="28" customHeight="1">
      <c r="A38" s="19" t="s">
        <v>188</v>
      </c>
      <c r="B38" s="20" t="s">
        <v>189</v>
      </c>
      <c r="C38" s="20"/>
      <c r="D38" s="20"/>
      <c r="E38" s="20"/>
      <c r="F38" s="20"/>
      <c r="G38" s="20"/>
    </row>
    <row r="40" spans="1:7" ht="28" customHeight="1">
      <c r="A40" s="19" t="s">
        <v>190</v>
      </c>
      <c r="B40" s="20" t="s">
        <v>191</v>
      </c>
      <c r="C40" s="20"/>
      <c r="D40" s="20"/>
      <c r="E40" s="20"/>
      <c r="F40" s="20"/>
      <c r="G40" s="20"/>
    </row>
    <row r="42" spans="1:7">
      <c r="A42" s="2" t="s">
        <v>192</v>
      </c>
      <c r="B42" s="2"/>
      <c r="C42" s="2"/>
      <c r="D42" s="2"/>
      <c r="E42" s="2"/>
      <c r="F42" s="2"/>
      <c r="G42" s="2"/>
    </row>
    <row r="43" spans="1:7">
      <c r="A43" s="3" t="s">
        <v>157</v>
      </c>
      <c r="B43" s="3" t="s">
        <v>178</v>
      </c>
      <c r="C43" s="3" t="s">
        <v>193</v>
      </c>
    </row>
    <row r="44" spans="1:7">
      <c r="A44" s="6" t="s">
        <v>159</v>
      </c>
      <c r="B44" s="12">
        <v>700</v>
      </c>
      <c r="C44" s="6" t="s">
        <v>194</v>
      </c>
    </row>
    <row r="45" spans="1:7">
      <c r="A45" s="6" t="s">
        <v>164</v>
      </c>
      <c r="B45" s="12">
        <v>600</v>
      </c>
      <c r="C45" s="6" t="s">
        <v>195</v>
      </c>
    </row>
    <row r="46" spans="1:7">
      <c r="A46" s="6" t="s">
        <v>161</v>
      </c>
      <c r="B46" s="12">
        <v>550</v>
      </c>
      <c r="C46" s="6" t="s">
        <v>196</v>
      </c>
    </row>
  </sheetData>
  <mergeCells count="15">
    <mergeCell ref="A1:F1"/>
    <mergeCell ref="A2:F2"/>
    <mergeCell ref="A4:C4"/>
    <mergeCell ref="D4:F4"/>
    <mergeCell ref="A13:G13"/>
    <mergeCell ref="A14:G21"/>
    <mergeCell ref="A23:G23"/>
    <mergeCell ref="A28:G28"/>
    <mergeCell ref="B30:G30"/>
    <mergeCell ref="B32:G32"/>
    <mergeCell ref="B34:G34"/>
    <mergeCell ref="B36:G36"/>
    <mergeCell ref="B38:G38"/>
    <mergeCell ref="B40:G40"/>
    <mergeCell ref="A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HC Hora×Hora</vt:lpstr>
      <vt:lpstr>2. HC por Posición</vt:lpstr>
      <vt:lpstr>3. Optimización Jornadas</vt:lpstr>
      <vt:lpstr>4. Estrategia 12 Semanas</vt:lpstr>
      <vt:lpstr>5. Ejercicio SQL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2026-06-01T20:17:39Z</dcterms:created>
  <dcterms:modified xsi:type="dcterms:W3CDTF">2026-06-01T20:17:39Z</dcterms:modified>
</cp:coreProperties>
</file>